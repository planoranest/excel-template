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Template" sheetId="1" state="visible" r:id="rId1"/>
    <sheet name="📖 Instructions" sheetId="2" state="visible" r:id="rId2"/>
    <sheet name="ℹ️ About"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1B2A4A"/>
      <sz val="18"/>
    </font>
    <font>
      <name val="Calibri"/>
      <i val="1"/>
      <color rgb="00555555"/>
      <sz val="11"/>
    </font>
    <font>
      <name val="Calibri"/>
      <b val="1"/>
      <color rgb="00FFFFFF"/>
      <sz val="11"/>
    </font>
    <font>
      <name val="Calibri"/>
      <color rgb="001A1A1A"/>
      <sz val="10"/>
    </font>
    <font>
      <name val="Calibri"/>
      <b val="1"/>
      <color rgb="001F4E79"/>
      <sz val="12"/>
    </font>
    <font>
      <name val="Calibri"/>
      <b val="1"/>
      <color rgb="001B2A4A"/>
      <sz val="10"/>
    </font>
    <font>
      <name val="Calibri"/>
      <b val="1"/>
      <color rgb="001F4E79"/>
      <sz val="13"/>
    </font>
    <font>
      <name val="Calibri"/>
      <b val="1"/>
      <color rgb="002E75B6"/>
      <sz val="12"/>
    </font>
    <font>
      <name val="Consolas"/>
      <color rgb="00777777"/>
      <sz val="9"/>
    </font>
    <font>
      <name val="Calibri"/>
      <color rgb="000563C1"/>
      <sz val="10"/>
      <u val="single"/>
    </font>
    <font>
      <name val="Calibri"/>
      <color rgb="00999999"/>
      <sz val="8"/>
    </font>
    <font>
      <name val="Calibri"/>
      <color rgb="00999999"/>
      <sz val="9"/>
    </font>
  </fonts>
  <fills count="5">
    <fill>
      <patternFill/>
    </fill>
    <fill>
      <patternFill patternType="gray125"/>
    </fill>
    <fill>
      <patternFill patternType="solid">
        <fgColor rgb="001B2A4A"/>
        <bgColor rgb="001B2A4A"/>
      </patternFill>
    </fill>
    <fill>
      <patternFill patternType="solid">
        <fgColor rgb="00F2F7FB"/>
        <bgColor rgb="00F2F7FB"/>
      </patternFill>
    </fill>
    <fill>
      <patternFill patternType="solid">
        <fgColor rgb="00E8F0FE"/>
        <bgColor rgb="00E8F0FE"/>
      </patternFill>
    </fill>
  </fills>
  <borders count="4">
    <border>
      <left/>
      <right/>
      <top/>
      <bottom/>
      <diagonal/>
    </border>
    <border/>
    <border>
      <left style="thin">
        <color rgb="001B2A4A"/>
      </left>
      <right style="thin">
        <color rgb="001B2A4A"/>
      </right>
      <top style="thin">
        <color rgb="001B2A4A"/>
      </top>
      <bottom style="medium">
        <color rgb="001B2A4A"/>
      </bottom>
    </border>
    <border>
      <left style="thin">
        <color rgb="00D5D8DC"/>
      </left>
      <right style="thin">
        <color rgb="00D5D8DC"/>
      </right>
      <top style="thin">
        <color rgb="00D5D8DC"/>
      </top>
      <bottom style="thin">
        <color rgb="00D5D8DC"/>
      </bottom>
    </border>
  </borders>
  <cellStyleXfs count="1">
    <xf numFmtId="0" fontId="0" fillId="0" borderId="0"/>
  </cellStyleXfs>
  <cellXfs count="19">
    <xf numFmtId="0" fontId="0" fillId="0" borderId="0" pivotButton="0" quotePrefix="0" xfId="0"/>
    <xf numFmtId="0" fontId="1" fillId="0" borderId="1" applyAlignment="1" pivotButton="0" quotePrefix="0" xfId="0">
      <alignment horizontal="left" vertical="center" wrapText="1"/>
    </xf>
    <xf numFmtId="0" fontId="2" fillId="0" borderId="1" applyAlignment="1" pivotButton="0" quotePrefix="0" xfId="0">
      <alignment horizontal="left" vertical="center" wrapText="1"/>
    </xf>
    <xf numFmtId="0" fontId="3" fillId="2" borderId="2" applyAlignment="1" pivotButton="0" quotePrefix="0" xfId="0">
      <alignment horizontal="center" vertical="center" wrapText="1"/>
    </xf>
    <xf numFmtId="0" fontId="4" fillId="0" borderId="3" applyAlignment="1" pivotButton="0" quotePrefix="0" xfId="0">
      <alignment horizontal="center" vertical="center" wrapText="1"/>
    </xf>
    <xf numFmtId="0" fontId="4" fillId="3" borderId="3" applyAlignment="1" pivotButton="0" quotePrefix="0" xfId="0">
      <alignment horizontal="center" vertical="center" wrapText="1"/>
    </xf>
    <xf numFmtId="0" fontId="5" fillId="4" borderId="1" applyAlignment="1" pivotButton="0" quotePrefix="0" xfId="0">
      <alignment horizontal="left" vertical="center" wrapText="1"/>
    </xf>
    <xf numFmtId="0" fontId="6" fillId="0" borderId="3" applyAlignment="1" pivotButton="0" quotePrefix="0" xfId="0">
      <alignment horizontal="left" vertical="center" wrapText="1"/>
    </xf>
    <xf numFmtId="0" fontId="1" fillId="0" borderId="0" applyAlignment="1" pivotButton="0" quotePrefix="0" xfId="0">
      <alignment horizontal="left" vertical="center" wrapText="1"/>
    </xf>
    <xf numFmtId="0" fontId="7" fillId="0" borderId="0" applyAlignment="1" pivotButton="0" quotePrefix="0" xfId="0">
      <alignment horizontal="left" vertical="center" wrapText="1"/>
    </xf>
    <xf numFmtId="0" fontId="4" fillId="0" borderId="0" applyAlignment="1" pivotButton="0" quotePrefix="0" xfId="0">
      <alignment horizontal="left" vertical="center" wrapText="1"/>
    </xf>
    <xf numFmtId="0" fontId="8" fillId="0" borderId="0" applyAlignment="1" pivotButton="0" quotePrefix="0" xfId="0">
      <alignment horizontal="left" vertical="center" wrapText="1"/>
    </xf>
    <xf numFmtId="0" fontId="9" fillId="0" borderId="0" applyAlignment="1" pivotButton="0" quotePrefix="0" xfId="0">
      <alignment horizontal="left" vertical="center" wrapText="1"/>
    </xf>
    <xf numFmtId="0" fontId="6" fillId="0" borderId="0" pivotButton="0" quotePrefix="0" xfId="0"/>
    <xf numFmtId="0" fontId="4" fillId="0" borderId="0" pivotButton="0" quotePrefix="0" xfId="0"/>
    <xf numFmtId="0" fontId="10" fillId="0" borderId="0" pivotButton="0" quotePrefix="0" xfId="0"/>
    <xf numFmtId="0" fontId="5"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2"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planoranest.com/" TargetMode="External" Id="rId1" /></Relationships>
</file>

<file path=xl/worksheets/sheet1.xml><?xml version="1.0" encoding="utf-8"?>
<worksheet xmlns="http://schemas.openxmlformats.org/spreadsheetml/2006/main">
  <sheetPr>
    <outlinePr summaryBelow="1" summaryRight="1"/>
    <pageSetUpPr/>
  </sheetPr>
  <dimension ref="A1:N55"/>
  <sheetViews>
    <sheetView workbookViewId="0">
      <pane ySplit="4" topLeftCell="A5" activePane="bottomLeft" state="frozen"/>
      <selection pane="bottomLeft" activeCell="A1" sqref="A1"/>
    </sheetView>
  </sheetViews>
  <sheetFormatPr baseColWidth="8" defaultRowHeight="15"/>
  <cols>
    <col width="11" customWidth="1" min="1" max="1"/>
    <col width="22" customWidth="1" min="2" max="2"/>
    <col width="11" customWidth="1" min="3" max="3"/>
    <col width="10" customWidth="1" min="4" max="4"/>
    <col width="10" customWidth="1" min="5" max="5"/>
    <col width="10" customWidth="1" min="6" max="6"/>
    <col width="10" customWidth="1" min="7" max="7"/>
    <col width="8" customWidth="1" min="8" max="8"/>
    <col width="13" customWidth="1" min="9" max="9"/>
    <col width="9" customWidth="1" min="10" max="10"/>
    <col width="9" customWidth="1" min="11" max="11"/>
    <col width="18" customWidth="1" min="12" max="12"/>
  </cols>
  <sheetData>
    <row r="1" ht="36" customHeight="1">
      <c r="A1" s="1" t="inlineStr">
        <is>
          <t>Cycling Ride &amp; Performance Log</t>
        </is>
      </c>
    </row>
    <row r="2" ht="20" customHeight="1">
      <c r="A2" s="2" t="inlineStr">
        <is>
          <t>Track rides with distance, elevation, power data &amp; segment PRs</t>
        </is>
      </c>
    </row>
    <row r="3" ht="6" customHeight="1"/>
    <row r="4" ht="30" customHeight="1">
      <c r="A4" s="3" t="inlineStr">
        <is>
          <t>Date</t>
        </is>
      </c>
      <c r="B4" s="3" t="inlineStr">
        <is>
          <t>Activity/Meal</t>
        </is>
      </c>
      <c r="C4" s="3" t="inlineStr">
        <is>
          <t>Duration(mins)</t>
        </is>
      </c>
      <c r="D4" s="3" t="inlineStr">
        <is>
          <t>Calories</t>
        </is>
      </c>
      <c r="E4" s="3" t="inlineStr">
        <is>
          <t>Distance(km)</t>
        </is>
      </c>
      <c r="F4" s="3" t="inlineStr">
        <is>
          <t>Heart Rate</t>
        </is>
      </c>
      <c r="G4" s="3" t="inlineStr">
        <is>
          <t>Weight(kg)</t>
        </is>
      </c>
      <c r="H4" s="3" t="inlineStr">
        <is>
          <t>Mood</t>
        </is>
      </c>
      <c r="I4" s="3" t="inlineStr">
        <is>
          <t>Category</t>
        </is>
      </c>
      <c r="J4" s="3" t="inlineStr">
        <is>
          <t>Intensity</t>
        </is>
      </c>
      <c r="K4" s="3" t="inlineStr">
        <is>
          <t>Cal/Min</t>
        </is>
      </c>
      <c r="L4" s="3" t="inlineStr">
        <is>
          <t>Notes</t>
        </is>
      </c>
    </row>
    <row r="5">
      <c r="A5" s="4" t="inlineStr">
        <is>
          <t>2025-06-01</t>
        </is>
      </c>
      <c r="B5" s="4" t="inlineStr">
        <is>
          <t>Activity 6</t>
        </is>
      </c>
      <c r="C5" s="4" t="n">
        <v>45</v>
      </c>
      <c r="D5" s="4" t="n">
        <v>350</v>
      </c>
      <c r="E5" s="4" t="n">
        <v>5.2</v>
      </c>
      <c r="F5" s="4" t="n">
        <v>135</v>
      </c>
      <c r="G5" s="4" t="n">
        <v>72.5</v>
      </c>
      <c r="H5" s="4" t="n">
        <v>7</v>
      </c>
      <c r="I5" s="4" t="inlineStr">
        <is>
          <t>Cardio</t>
        </is>
      </c>
      <c r="J5" s="4" t="inlineStr">
        <is>
          <t>Moderate</t>
        </is>
      </c>
      <c r="K5" s="4">
        <f>IF(AND(C5&lt;&gt;"",D5&lt;&gt;"",C5&gt;0),ROUND(D5/C5,1),"")</f>
        <v/>
      </c>
      <c r="L5" s="4" t="inlineStr">
        <is>
          <t>Session 6-1</t>
        </is>
      </c>
    </row>
    <row r="6">
      <c r="A6" s="5" t="inlineStr">
        <is>
          <t>2025-06-03</t>
        </is>
      </c>
      <c r="B6" s="5" t="inlineStr">
        <is>
          <t>Activity 6</t>
        </is>
      </c>
      <c r="C6" s="5" t="n">
        <v>45</v>
      </c>
      <c r="D6" s="5" t="n">
        <v>350</v>
      </c>
      <c r="E6" s="5" t="n">
        <v>5.2</v>
      </c>
      <c r="F6" s="5" t="n">
        <v>135</v>
      </c>
      <c r="G6" s="5" t="n">
        <v>72.5</v>
      </c>
      <c r="H6" s="5" t="n">
        <v>7</v>
      </c>
      <c r="I6" s="5" t="inlineStr">
        <is>
          <t>Cardio</t>
        </is>
      </c>
      <c r="J6" s="5" t="inlineStr">
        <is>
          <t>Moderate</t>
        </is>
      </c>
      <c r="K6" s="5">
        <f>IF(AND(C6&lt;&gt;"",D6&lt;&gt;"",C6&gt;0),ROUND(D6/C6,1),"")</f>
        <v/>
      </c>
      <c r="L6" s="5" t="inlineStr">
        <is>
          <t>Session 6-3</t>
        </is>
      </c>
    </row>
    <row r="7">
      <c r="A7" s="4" t="inlineStr">
        <is>
          <t>2025-06-05</t>
        </is>
      </c>
      <c r="B7" s="4" t="inlineStr">
        <is>
          <t>Activity 6</t>
        </is>
      </c>
      <c r="C7" s="4" t="n">
        <v>45</v>
      </c>
      <c r="D7" s="4" t="n">
        <v>350</v>
      </c>
      <c r="E7" s="4" t="n">
        <v>5.2</v>
      </c>
      <c r="F7" s="4" t="n">
        <v>135</v>
      </c>
      <c r="G7" s="4" t="n">
        <v>72.5</v>
      </c>
      <c r="H7" s="4" t="n">
        <v>7</v>
      </c>
      <c r="I7" s="4" t="inlineStr">
        <is>
          <t>Cardio</t>
        </is>
      </c>
      <c r="J7" s="4" t="inlineStr">
        <is>
          <t>Moderate</t>
        </is>
      </c>
      <c r="K7" s="4">
        <f>IF(AND(C7&lt;&gt;"",D7&lt;&gt;"",C7&gt;0),ROUND(D7/C7,1),"")</f>
        <v/>
      </c>
      <c r="L7" s="4" t="inlineStr">
        <is>
          <t>Session 6-5</t>
        </is>
      </c>
    </row>
    <row r="8">
      <c r="A8" s="5" t="inlineStr">
        <is>
          <t>2025-06-07</t>
        </is>
      </c>
      <c r="B8" s="5" t="inlineStr">
        <is>
          <t>Activity 6</t>
        </is>
      </c>
      <c r="C8" s="5" t="n">
        <v>45</v>
      </c>
      <c r="D8" s="5" t="n">
        <v>350</v>
      </c>
      <c r="E8" s="5" t="n">
        <v>5.2</v>
      </c>
      <c r="F8" s="5" t="n">
        <v>135</v>
      </c>
      <c r="G8" s="5" t="n">
        <v>72.5</v>
      </c>
      <c r="H8" s="5" t="n">
        <v>7</v>
      </c>
      <c r="I8" s="5" t="inlineStr">
        <is>
          <t>Cardio</t>
        </is>
      </c>
      <c r="J8" s="5" t="inlineStr">
        <is>
          <t>Moderate</t>
        </is>
      </c>
      <c r="K8" s="5">
        <f>IF(AND(C8&lt;&gt;"",D8&lt;&gt;"",C8&gt;0),ROUND(D8/C8,1),"")</f>
        <v/>
      </c>
      <c r="L8" s="5" t="inlineStr">
        <is>
          <t>Session 6-7</t>
        </is>
      </c>
    </row>
    <row r="9">
      <c r="A9" s="4" t="inlineStr">
        <is>
          <t>2025-06-09</t>
        </is>
      </c>
      <c r="B9" s="4" t="inlineStr">
        <is>
          <t>Activity 6</t>
        </is>
      </c>
      <c r="C9" s="4" t="n">
        <v>45</v>
      </c>
      <c r="D9" s="4" t="n">
        <v>350</v>
      </c>
      <c r="E9" s="4" t="n">
        <v>5.2</v>
      </c>
      <c r="F9" s="4" t="n">
        <v>135</v>
      </c>
      <c r="G9" s="4" t="n">
        <v>72.5</v>
      </c>
      <c r="H9" s="4" t="n">
        <v>7</v>
      </c>
      <c r="I9" s="4" t="inlineStr">
        <is>
          <t>Cardio</t>
        </is>
      </c>
      <c r="J9" s="4" t="inlineStr">
        <is>
          <t>Moderate</t>
        </is>
      </c>
      <c r="K9" s="4">
        <f>IF(AND(C9&lt;&gt;"",D9&lt;&gt;"",C9&gt;0),ROUND(D9/C9,1),"")</f>
        <v/>
      </c>
      <c r="L9" s="4" t="inlineStr">
        <is>
          <t>Session 6-9</t>
        </is>
      </c>
    </row>
    <row r="10">
      <c r="A10" s="5" t="inlineStr">
        <is>
          <t>2025-06-11</t>
        </is>
      </c>
      <c r="B10" s="5" t="inlineStr">
        <is>
          <t>Activity 6</t>
        </is>
      </c>
      <c r="C10" s="5" t="n">
        <v>45</v>
      </c>
      <c r="D10" s="5" t="n">
        <v>350</v>
      </c>
      <c r="E10" s="5" t="n">
        <v>5.2</v>
      </c>
      <c r="F10" s="5" t="n">
        <v>135</v>
      </c>
      <c r="G10" s="5" t="n">
        <v>72.5</v>
      </c>
      <c r="H10" s="5" t="n">
        <v>7</v>
      </c>
      <c r="I10" s="5" t="inlineStr">
        <is>
          <t>Cardio</t>
        </is>
      </c>
      <c r="J10" s="5" t="inlineStr">
        <is>
          <t>Moderate</t>
        </is>
      </c>
      <c r="K10" s="5">
        <f>IF(AND(C10&lt;&gt;"",D10&lt;&gt;"",C10&gt;0),ROUND(D10/C10,1),"")</f>
        <v/>
      </c>
      <c r="L10" s="5" t="inlineStr">
        <is>
          <t>Session 6-11</t>
        </is>
      </c>
    </row>
    <row r="11">
      <c r="A11" s="4" t="inlineStr">
        <is>
          <t>2025-06-13</t>
        </is>
      </c>
      <c r="B11" s="4" t="inlineStr">
        <is>
          <t>Activity 6</t>
        </is>
      </c>
      <c r="C11" s="4" t="n">
        <v>45</v>
      </c>
      <c r="D11" s="4" t="n">
        <v>350</v>
      </c>
      <c r="E11" s="4" t="n">
        <v>5.2</v>
      </c>
      <c r="F11" s="4" t="n">
        <v>135</v>
      </c>
      <c r="G11" s="4" t="n">
        <v>72.5</v>
      </c>
      <c r="H11" s="4" t="n">
        <v>7</v>
      </c>
      <c r="I11" s="4" t="inlineStr">
        <is>
          <t>Cardio</t>
        </is>
      </c>
      <c r="J11" s="4" t="inlineStr">
        <is>
          <t>Moderate</t>
        </is>
      </c>
      <c r="K11" s="4">
        <f>IF(AND(C11&lt;&gt;"",D11&lt;&gt;"",C11&gt;0),ROUND(D11/C11,1),"")</f>
        <v/>
      </c>
      <c r="L11" s="4" t="inlineStr">
        <is>
          <t>Session 6-13</t>
        </is>
      </c>
    </row>
    <row r="12"/>
    <row r="13" ht="26" customHeight="1">
      <c r="A13" s="6" t="inlineStr">
        <is>
          <t>📊 WEEKLY ANALYTICS</t>
        </is>
      </c>
    </row>
    <row r="14">
      <c r="A14" s="7" t="inlineStr">
        <is>
          <t>Total Duration</t>
        </is>
      </c>
      <c r="B14" s="4">
        <f>SUM(C5:C11)</f>
        <v/>
      </c>
      <c r="C14" s="4" t="inlineStr">
        <is>
          <t>mins</t>
        </is>
      </c>
      <c r="D14" s="4" t="inlineStr"/>
      <c r="E14" s="4" t="inlineStr">
        <is>
          <t>Total Calories</t>
        </is>
      </c>
      <c r="F14" s="4">
        <f>SUM(D5:D11)</f>
        <v/>
      </c>
      <c r="G14" s="4" t="inlineStr">
        <is>
          <t>kcal</t>
        </is>
      </c>
      <c r="H14" s="4" t="inlineStr"/>
      <c r="I14" s="4" t="inlineStr">
        <is>
          <t>Avg Heart Rate</t>
        </is>
      </c>
      <c r="J14" s="4">
        <f>AVERAGE(F5:F11)</f>
        <v/>
      </c>
      <c r="K14" s="4" t="inlineStr">
        <is>
          <t>bpm</t>
        </is>
      </c>
      <c r="L14" s="4" t="inlineStr"/>
      <c r="M14" s="4" t="inlineStr">
        <is>
          <t>Cal/Min Avg</t>
        </is>
      </c>
      <c r="N14" s="4">
        <f>AVERAGE(K5:K11)</f>
        <v/>
      </c>
    </row>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sheetData>
  <mergeCells count="3">
    <mergeCell ref="A13:L13"/>
    <mergeCell ref="A2:L2"/>
    <mergeCell ref="A1:L1"/>
  </mergeCells>
  <conditionalFormatting sqref="D5:D55">
    <cfRule type="dataBar" priority="1">
      <dataBar showValue="1">
        <cfvo type="min"/>
        <cfvo type="max"/>
        <color rgb="001B7A3D"/>
      </dataBar>
    </cfRule>
  </conditionalFormatting>
  <conditionalFormatting sqref="H5:H55">
    <cfRule type="colorScale" priority="2">
      <colorScale>
        <cfvo type="min"/>
        <cfvo type="percentile" val="50"/>
        <cfvo type="max"/>
        <color rgb="00C0392B"/>
        <color rgb="00F1C40F"/>
        <color rgb="001B7A3D"/>
      </colorScale>
    </cfRule>
  </conditionalFormatting>
  <conditionalFormatting sqref="K5:K55">
    <cfRule type="colorScale" priority="3">
      <colorScale>
        <cfvo type="min"/>
        <cfvo type="percentile" val="50"/>
        <cfvo type="max"/>
        <color rgb="00C0392B"/>
        <color rgb="00F1C40F"/>
        <color rgb="001B7A3D"/>
      </colorScale>
    </cfRule>
  </conditionalFormatting>
  <dataValidations count="2">
    <dataValidation sqref="I5 I6 I7 I8 I9 I10 I11 I12 I13 I14 I15 I16 I17 I18 I19 I20 I21 I22 I23 I24 I25 I26 I27 I28 I29 I30 I31 I32 I33 I34 I35 I36 I37 I38 I39 I40 I41 I42 I43 I44 I45 I46 I47 I48 I49 I50 I51 I52 I53 I54 I55" showDropDown="0" showInputMessage="0" showErrorMessage="0" allowBlank="1" type="list">
      <formula1>"Cardio,Strength,Yoga,Running,Cycling,Swimming,Walking,HIIT,Sports,Other"</formula1>
    </dataValidation>
    <dataValidation sqref="J5 J6 J7 J8 J9 J10 J11 J12 J13 J14 J15 J16 J17 J18 J19 J20 J21 J22 J23 J24 J25 J26 J27 J28 J29 J30 J31 J32 J33 J34 J35 J36 J37 J38 J39 J40 J41 J42 J43 J44 J45 J46 J47 J48 J49 J50 J51 J52 J53 J54 J55" showDropDown="0" showInputMessage="0" showErrorMessage="0" allowBlank="1" type="list">
      <formula1>"Low,Moderate,High,Intense"</formula1>
    </dataValidation>
  </dataValidation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B24"/>
  <sheetViews>
    <sheetView workbookViewId="0">
      <selection activeCell="A1" sqref="A1"/>
    </sheetView>
  </sheetViews>
  <sheetFormatPr baseColWidth="8" defaultRowHeight="15"/>
  <cols>
    <col width="5" customWidth="1" min="1" max="1"/>
    <col width="95" customWidth="1" min="2" max="2"/>
  </cols>
  <sheetData>
    <row r="1" ht="38" customHeight="1">
      <c r="A1" s="8" t="inlineStr">
        <is>
          <t>How to Use: Cycling Ride &amp; Performance Log</t>
        </is>
      </c>
    </row>
    <row r="3" ht="24" customHeight="1">
      <c r="A3" s="9" t="inlineStr">
        <is>
          <t>Overview</t>
        </is>
      </c>
    </row>
    <row r="4" ht="48" customHeight="1">
      <c r="A4" s="10" t="inlineStr">
        <is>
          <t>Professional cycling ride &amp; performance log for tracking and improving your health journey.</t>
        </is>
      </c>
    </row>
    <row r="6" ht="26" customHeight="1">
      <c r="A6" s="11" t="inlineStr">
        <is>
          <t>Log</t>
        </is>
      </c>
    </row>
    <row r="7" ht="22" customHeight="1">
      <c r="A7" s="10" t="inlineStr">
        <is>
          <t>• Record daily activities and health metrics</t>
        </is>
      </c>
    </row>
    <row r="8" ht="22" customHeight="1">
      <c r="A8" s="10" t="inlineStr">
        <is>
          <t>• Track key indicators consistently</t>
        </is>
      </c>
    </row>
    <row r="9" ht="22" customHeight="1">
      <c r="A9" s="10" t="inlineStr">
        <is>
          <t>• Monitor trends over time</t>
        </is>
      </c>
    </row>
    <row r="11" ht="26" customHeight="1">
      <c r="A11" s="11" t="inlineStr">
        <is>
          <t>Optimize</t>
        </is>
      </c>
    </row>
    <row r="12" ht="22" customHeight="1">
      <c r="A12" s="10" t="inlineStr">
        <is>
          <t>• Review weekly summaries</t>
        </is>
      </c>
    </row>
    <row r="13" ht="22" customHeight="1">
      <c r="A13" s="10" t="inlineStr">
        <is>
          <t>• Identify patterns and correlations</t>
        </is>
      </c>
    </row>
    <row r="14" ht="22" customHeight="1">
      <c r="A14" s="10" t="inlineStr">
        <is>
          <t>• Adjust routines based on data</t>
        </is>
      </c>
    </row>
    <row r="16" ht="26" customHeight="1">
      <c r="A16" s="11" t="inlineStr">
        <is>
          <t>Pro Tips</t>
        </is>
      </c>
    </row>
    <row r="17" ht="24" customHeight="1">
      <c r="A17" s="10" t="inlineStr">
        <is>
          <t>💡 Consistency is more important than perfection</t>
        </is>
      </c>
    </row>
    <row r="18" ht="24" customHeight="1">
      <c r="A18" s="10" t="inlineStr">
        <is>
          <t>💡 Track both quantitative and qualitative data</t>
        </is>
      </c>
    </row>
    <row r="19" ht="24" customHeight="1">
      <c r="A19" s="10" t="inlineStr">
        <is>
          <t>💡 Share with healthcare providers when relevant</t>
        </is>
      </c>
    </row>
    <row r="21" ht="26" customHeight="1">
      <c r="A21" s="11" t="inlineStr">
        <is>
          <t>Key Formulas Used</t>
        </is>
      </c>
    </row>
    <row r="22" ht="19" customHeight="1">
      <c r="A22" s="12" t="inlineStr">
        <is>
          <t xml:space="preserve">  = SUM for totals</t>
        </is>
      </c>
    </row>
    <row r="23" ht="19" customHeight="1">
      <c r="A23" s="12" t="inlineStr">
        <is>
          <t xml:space="preserve">  = AVERAGE for trends</t>
        </is>
      </c>
    </row>
    <row r="24" ht="19" customHeight="1">
      <c r="A24" s="12" t="inlineStr">
        <is>
          <t xml:space="preserve">  = COUNTIF for frequency analysis</t>
        </is>
      </c>
    </row>
  </sheetData>
  <mergeCells count="19">
    <mergeCell ref="A24:B24"/>
    <mergeCell ref="A11:B11"/>
    <mergeCell ref="A1:B1"/>
    <mergeCell ref="A6:B6"/>
    <mergeCell ref="A16:B16"/>
    <mergeCell ref="A7:B7"/>
    <mergeCell ref="A18:B18"/>
    <mergeCell ref="A3:B3"/>
    <mergeCell ref="A12:B12"/>
    <mergeCell ref="A21:B21"/>
    <mergeCell ref="A14:B14"/>
    <mergeCell ref="A23:B23"/>
    <mergeCell ref="A17:B17"/>
    <mergeCell ref="A8:B8"/>
    <mergeCell ref="A22:B22"/>
    <mergeCell ref="A4:B4"/>
    <mergeCell ref="A19:B19"/>
    <mergeCell ref="A13:B13"/>
    <mergeCell ref="A9:B9"/>
  </mergeCells>
  <pageMargins left="0.75" right="0.75" top="1" bottom="1" header="0.5" footer="0.5"/>
</worksheet>
</file>

<file path=xl/worksheets/sheet3.xml><?xml version="1.0" encoding="utf-8"?>
<worksheet xmlns="http://schemas.openxmlformats.org/spreadsheetml/2006/main">
  <sheetPr>
    <tabColor rgb="001B2A4A"/>
    <outlinePr summaryBelow="1" summaryRight="1"/>
    <pageSetUpPr/>
  </sheetPr>
  <dimension ref="A1:B23"/>
  <sheetViews>
    <sheetView workbookViewId="0">
      <selection activeCell="A1" sqref="A1"/>
    </sheetView>
  </sheetViews>
  <sheetFormatPr baseColWidth="8" defaultRowHeight="15"/>
  <cols>
    <col width="5" customWidth="1" min="1" max="1"/>
    <col width="95" customWidth="1" min="2" max="2"/>
  </cols>
  <sheetData>
    <row r="1" ht="38" customHeight="1">
      <c r="A1" s="8" t="inlineStr">
        <is>
          <t>About: Cycling Ride &amp; Performance Log</t>
        </is>
      </c>
    </row>
    <row r="3" ht="22" customHeight="1">
      <c r="A3" s="13" t="inlineStr">
        <is>
          <t>Template Name:</t>
        </is>
      </c>
      <c r="B3" s="14" t="inlineStr">
        <is>
          <t>Cycling Ride &amp; Performance Log</t>
        </is>
      </c>
    </row>
    <row r="4" ht="22" customHeight="1">
      <c r="A4" s="13" t="inlineStr">
        <is>
          <t>Category:</t>
        </is>
      </c>
      <c r="B4" s="14" t="inlineStr">
        <is>
          <t>Health &amp; Fitness</t>
        </is>
      </c>
    </row>
    <row r="5" ht="22" customHeight="1">
      <c r="A5" s="13" t="inlineStr">
        <is>
          <t>Version:</t>
        </is>
      </c>
      <c r="B5" s="14" t="inlineStr">
        <is>
          <t>2.0 Professional</t>
        </is>
      </c>
    </row>
    <row r="6" ht="22" customHeight="1">
      <c r="A6" s="13" t="inlineStr">
        <is>
          <t>Last Updated:</t>
        </is>
      </c>
      <c r="B6" s="14" t="inlineStr">
        <is>
          <t>June 21, 2026</t>
        </is>
      </c>
    </row>
    <row r="7" ht="22" customHeight="1">
      <c r="A7" s="13" t="inlineStr">
        <is>
          <t>Compatibility:</t>
        </is>
      </c>
      <c r="B7" s="14" t="inlineStr">
        <is>
          <t>Excel 2010+, Google Sheets, LibreOffice Calc</t>
        </is>
      </c>
    </row>
    <row r="8" ht="22" customHeight="1">
      <c r="A8" s="13" t="inlineStr">
        <is>
          <t>License:</t>
        </is>
      </c>
      <c r="B8" s="14" t="inlineStr">
        <is>
          <t>MIT - Free for personal &amp; commercial use</t>
        </is>
      </c>
    </row>
    <row r="9" ht="22" customHeight="1">
      <c r="A9" s="13" t="inlineStr">
        <is>
          <t>Website:</t>
        </is>
      </c>
      <c r="B9" s="15" t="inlineStr">
        <is>
          <t>https://planoranest.com/</t>
        </is>
      </c>
    </row>
    <row r="13" ht="24" customHeight="1">
      <c r="A13" s="16" t="inlineStr">
        <is>
          <t>What's Included</t>
        </is>
      </c>
    </row>
    <row r="14" ht="21" customHeight="1">
      <c r="A14" s="10" t="inlineStr">
        <is>
          <t xml:space="preserve">  • 12 columns with structured data entry</t>
        </is>
      </c>
    </row>
    <row r="15" ht="21" customHeight="1">
      <c r="A15" s="10" t="inlineStr">
        <is>
          <t xml:space="preserve">  • 7 sample rows with pre-filled data</t>
        </is>
      </c>
    </row>
    <row r="16" ht="21" customHeight="1">
      <c r="A16" s="10" t="inlineStr">
        <is>
          <t xml:space="preserve">  • Automatic formula calculations</t>
        </is>
      </c>
    </row>
    <row r="17" ht="21" customHeight="1">
      <c r="A17" s="10" t="inlineStr">
        <is>
          <t xml:space="preserve">  • Data validation dropdowns for consistency</t>
        </is>
      </c>
    </row>
    <row r="18" ht="21" customHeight="1">
      <c r="A18" s="10" t="inlineStr">
        <is>
          <t xml:space="preserve">  • Conditional formatting for visual insights</t>
        </is>
      </c>
    </row>
    <row r="20" ht="24" customHeight="1">
      <c r="A20" s="16" t="inlineStr">
        <is>
          <t>Keywords / SEO Tags</t>
        </is>
      </c>
    </row>
    <row r="21" ht="30" customHeight="1">
      <c r="A21" s="17" t="inlineStr">
        <is>
          <t>cycling ride &amp; performance log,health,fitness,wellness,excel template,personal tracking,PlanoraNest</t>
        </is>
      </c>
    </row>
    <row r="23" ht="20" customHeight="1">
      <c r="A23" s="18" t="inlineStr">
        <is>
          <t>(c) 2026 PlanoraNest. All rights reserved. | https://planoranest.com/</t>
        </is>
      </c>
    </row>
  </sheetData>
  <mergeCells count="10">
    <mergeCell ref="A20:B20"/>
    <mergeCell ref="A21:B21"/>
    <mergeCell ref="A16:B16"/>
    <mergeCell ref="A15:B15"/>
    <mergeCell ref="A23:B23"/>
    <mergeCell ref="A13:B13"/>
    <mergeCell ref="A14:B14"/>
    <mergeCell ref="A1:B1"/>
    <mergeCell ref="A17:B17"/>
    <mergeCell ref="A18:B18"/>
  </mergeCells>
  <hyperlinks>
    <hyperlink xmlns:r="http://schemas.openxmlformats.org/officeDocument/2006/relationships" ref="B9"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2026-06-21T05:24:06Z</dcterms:created>
  <dcterms:modified xsi:type="dcterms:W3CDTF">2026-06-21T05:24:07Z</dcterms:modified>
</cp:coreProperties>
</file>