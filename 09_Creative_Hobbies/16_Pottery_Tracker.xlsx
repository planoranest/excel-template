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1" customWidth="1" min="4" max="4"/>
    <col width="11" customWidth="1" min="5" max="5"/>
    <col width="10" customWidth="1" min="6" max="6"/>
    <col width="9" customWidth="1" min="7" max="7"/>
    <col width="10" customWidth="1" min="8" max="8"/>
    <col width="9" customWidth="1" min="9" max="9"/>
    <col width="18" customWidth="1" min="10" max="10"/>
    <col width="18" customWidth="1" min="11" max="11"/>
    <col width="16" customWidth="1" min="12" max="12"/>
  </cols>
  <sheetData>
    <row r="1" ht="36" customHeight="1">
      <c r="A1" s="1" t="inlineStr">
        <is>
          <t>Pottery &amp; Ceramics Studio Log</t>
        </is>
      </c>
    </row>
    <row r="2" ht="20" customHeight="1">
      <c r="A2" s="2" t="inlineStr">
        <is>
          <t>Track pieces from clay to kiln with glazes, firing notes &amp; results</t>
        </is>
      </c>
    </row>
    <row r="3" ht="6" customHeight="1"/>
    <row r="4" ht="30" customHeight="1">
      <c r="A4" s="3" t="inlineStr">
        <is>
          <t>Project/Item</t>
        </is>
      </c>
      <c r="B4" s="3" t="inlineStr">
        <is>
          <t>Type</t>
        </is>
      </c>
      <c r="C4" s="3" t="inlineStr">
        <is>
          <t>Status</t>
        </is>
      </c>
      <c r="D4" s="3" t="inlineStr">
        <is>
          <t>Started</t>
        </is>
      </c>
      <c r="E4" s="3" t="inlineStr">
        <is>
          <t>Completed</t>
        </is>
      </c>
      <c r="F4" s="3" t="inlineStr">
        <is>
          <t>Duration(Days)</t>
        </is>
      </c>
      <c r="G4" s="3" t="inlineStr">
        <is>
          <t>Difficulty</t>
        </is>
      </c>
      <c r="H4" s="3" t="inlineStr">
        <is>
          <t>Satisfaction</t>
        </is>
      </c>
      <c r="I4" s="3" t="inlineStr">
        <is>
          <t>Cost($)</t>
        </is>
      </c>
      <c r="J4" s="3" t="inlineStr">
        <is>
          <t>Materials/Tools</t>
        </is>
      </c>
      <c r="K4" s="3" t="inlineStr">
        <is>
          <t>Inspiration</t>
        </is>
      </c>
      <c r="L4" s="3" t="inlineStr">
        <is>
          <t>Notes</t>
        </is>
      </c>
    </row>
    <row r="5">
      <c r="A5" s="4" t="inlineStr">
        <is>
          <t>Watercolor Landscape</t>
        </is>
      </c>
      <c r="B5" s="4" t="inlineStr">
        <is>
          <t>Painting</t>
        </is>
      </c>
      <c r="C5" s="4" t="inlineStr">
        <is>
          <t>In Progress</t>
        </is>
      </c>
      <c r="D5" s="4" t="inlineStr">
        <is>
          <t>2025-06-01</t>
        </is>
      </c>
      <c r="E5" s="4" t="inlineStr"/>
      <c r="F5" s="4">
        <f>IF(AND(D5&lt;&gt;"",E5&lt;&gt;""),NETWORKDAYS(D5,E5),IF(D5&lt;&gt;"",NETWORKDAYS(D5,TODAY()),""))</f>
        <v/>
      </c>
      <c r="G5" s="4" t="inlineStr"/>
      <c r="H5" s="4" t="n">
        <v>4</v>
      </c>
      <c r="I5" s="4" t="n">
        <v>4</v>
      </c>
      <c r="J5" s="4" t="n">
        <v>35</v>
      </c>
      <c r="K5" s="4" t="inlineStr">
        <is>
          <t>Watercolors, paper</t>
        </is>
      </c>
      <c r="L5" s="4" t="inlineStr"/>
    </row>
    <row r="6">
      <c r="A6" s="5" t="inlineStr">
        <is>
          <t>Handmade Scarf</t>
        </is>
      </c>
      <c r="B6" s="5" t="inlineStr">
        <is>
          <t>Knitting</t>
        </is>
      </c>
      <c r="C6" s="5" t="inlineStr">
        <is>
          <t>Complete</t>
        </is>
      </c>
      <c r="D6" s="5" t="inlineStr">
        <is>
          <t>2025-03-15</t>
        </is>
      </c>
      <c r="E6" s="5" t="inlineStr">
        <is>
          <t>2025-05-20</t>
        </is>
      </c>
      <c r="F6" s="5">
        <f>IF(AND(D6&lt;&gt;"",E6&lt;&gt;""),NETWORKDAYS(D6,E6),IF(D6&lt;&gt;"",NETWORKDAYS(D6,TODAY()),""))</f>
        <v/>
      </c>
      <c r="G6" s="5" t="inlineStr"/>
      <c r="H6" s="5" t="n">
        <v>3</v>
      </c>
      <c r="I6" s="5" t="n">
        <v>5</v>
      </c>
      <c r="J6" s="5" t="n">
        <v>28</v>
      </c>
      <c r="K6" s="5" t="inlineStr">
        <is>
          <t>Merino wool, needles</t>
        </is>
      </c>
      <c r="L6" s="5" t="inlineStr"/>
    </row>
    <row r="7">
      <c r="A7" s="4" t="inlineStr">
        <is>
          <t>Podcast Episode #5</t>
        </is>
      </c>
      <c r="B7" s="4" t="inlineStr">
        <is>
          <t>Audio</t>
        </is>
      </c>
      <c r="C7" s="4" t="inlineStr">
        <is>
          <t>In Progress</t>
        </is>
      </c>
      <c r="D7" s="4" t="inlineStr">
        <is>
          <t>2025-06-05</t>
        </is>
      </c>
      <c r="E7" s="4" t="inlineStr"/>
      <c r="F7" s="4">
        <f>IF(AND(D7&lt;&gt;"",E7&lt;&gt;""),NETWORKDAYS(D7,E7),IF(D7&lt;&gt;"",NETWORKDAYS(D7,TODAY()),""))</f>
        <v/>
      </c>
      <c r="G7" s="4" t="inlineStr"/>
      <c r="H7" s="4" t="n">
        <v>3</v>
      </c>
      <c r="I7" s="4" t="n">
        <v>4</v>
      </c>
      <c r="J7" s="4" t="n">
        <v>0</v>
      </c>
      <c r="K7" s="4" t="inlineStr">
        <is>
          <t>Mic, Audacity</t>
        </is>
      </c>
      <c r="L7" s="4" t="inlineStr"/>
    </row>
    <row r="8">
      <c r="A8" s="5" t="inlineStr">
        <is>
          <t>Garden Redesign</t>
        </is>
      </c>
      <c r="B8" s="5" t="inlineStr">
        <is>
          <t>Gardening</t>
        </is>
      </c>
      <c r="C8" s="5" t="inlineStr">
        <is>
          <t>Planning</t>
        </is>
      </c>
      <c r="D8" s="5" t="inlineStr">
        <is>
          <t>2025-07-01</t>
        </is>
      </c>
      <c r="E8" s="5" t="inlineStr"/>
      <c r="F8" s="5">
        <f>IF(AND(D8&lt;&gt;"",E8&lt;&gt;""),NETWORKDAYS(D8,E8),IF(D8&lt;&gt;"",NETWORKDAYS(D8,TODAY()),""))</f>
        <v/>
      </c>
      <c r="G8" s="5" t="inlineStr"/>
      <c r="H8" s="5" t="n">
        <v>3</v>
      </c>
      <c r="I8" s="5" t="n">
        <v>0</v>
      </c>
      <c r="J8" s="5" t="n">
        <v>120</v>
      </c>
      <c r="K8" s="5" t="inlineStr">
        <is>
          <t>Plants, soil, tools</t>
        </is>
      </c>
      <c r="L8" s="5" t="inlineStr"/>
    </row>
    <row r="9">
      <c r="A9" s="4" t="inlineStr">
        <is>
          <t>Photo Book 2025</t>
        </is>
      </c>
      <c r="B9" s="4" t="inlineStr">
        <is>
          <t>Photography</t>
        </is>
      </c>
      <c r="C9" s="4" t="inlineStr">
        <is>
          <t>Idea</t>
        </is>
      </c>
      <c r="D9" s="4" t="inlineStr"/>
      <c r="E9" s="4" t="inlineStr"/>
      <c r="F9" s="4">
        <f>IF(AND(D9&lt;&gt;"",E9&lt;&gt;""),NETWORKDAYS(D9,E9),IF(D9&lt;&gt;"",NETWORKDAYS(D9,TODAY()),""))</f>
        <v/>
      </c>
      <c r="G9" s="4" t="inlineStr"/>
      <c r="H9" s="4" t="n">
        <v>0</v>
      </c>
      <c r="I9" s="4" t="n">
        <v>0</v>
      </c>
      <c r="J9" s="4" t="n">
        <v>0</v>
      </c>
      <c r="K9" s="4" t="inlineStr"/>
      <c r="L9" s="4" t="inlineStr"/>
    </row>
    <row r="10">
      <c r="A10" s="5" t="inlineStr">
        <is>
          <t>Wooden Bookshelf</t>
        </is>
      </c>
      <c r="B10" s="5" t="inlineStr">
        <is>
          <t>Woodworking</t>
        </is>
      </c>
      <c r="C10" s="5" t="inlineStr">
        <is>
          <t>In Progress</t>
        </is>
      </c>
      <c r="D10" s="5" t="inlineStr">
        <is>
          <t>2025-05-01</t>
        </is>
      </c>
      <c r="E10" s="5" t="inlineStr"/>
      <c r="F10" s="5">
        <f>IF(AND(D10&lt;&gt;"",E10&lt;&gt;""),NETWORKDAYS(D10,E10),IF(D10&lt;&gt;"",NETWORKDAYS(D10,TODAY()),""))</f>
        <v/>
      </c>
      <c r="G10" s="5" t="inlineStr"/>
      <c r="H10" s="5" t="n">
        <v>5</v>
      </c>
      <c r="I10" s="5" t="n">
        <v>5</v>
      </c>
      <c r="J10" s="5" t="n">
        <v>85</v>
      </c>
      <c r="K10" s="5" t="inlineStr">
        <is>
          <t>Oak wood, varnish</t>
        </is>
      </c>
      <c r="L10" s="5" t="inlineStr"/>
    </row>
    <row r="11"/>
    <row r="12" ht="26" customHeight="1">
      <c r="A12" s="6" t="inlineStr">
        <is>
          <t>📊 CREATIVE STATS</t>
        </is>
      </c>
    </row>
    <row r="13">
      <c r="A13" s="7" t="inlineStr">
        <is>
          <t>Total Projects</t>
        </is>
      </c>
      <c r="B13" s="4">
        <f>COUNTA(A5:A10)</f>
        <v/>
      </c>
      <c r="C13" s="4" t="inlineStr"/>
      <c r="D13" s="4" t="inlineStr"/>
      <c r="E13" s="4" t="inlineStr">
        <is>
          <t>Completed</t>
        </is>
      </c>
      <c r="F13" s="4">
        <f>COUNTIF(C5:C10,"Complete")</f>
        <v/>
      </c>
      <c r="G13" s="4" t="inlineStr"/>
      <c r="H13" s="4" t="inlineStr"/>
      <c r="I13" s="4" t="inlineStr">
        <is>
          <t>Total Cost</t>
        </is>
      </c>
      <c r="J13" s="4">
        <f>SUM(I5:I10)</f>
        <v/>
      </c>
      <c r="K13" s="4" t="inlineStr"/>
      <c r="L13" s="4" t="inlineStr"/>
      <c r="M13" s="4" t="inlineStr">
        <is>
          <t>Avg Satisfaction</t>
        </is>
      </c>
      <c r="N13" s="4">
        <f>AVERAGE(H5:H10)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L2"/>
    <mergeCell ref="A1:L1"/>
    <mergeCell ref="A12:L12"/>
  </mergeCells>
  <conditionalFormatting sqref="G5:G55">
    <cfRule type="colorScale" priority="1">
      <colorScale>
        <cfvo type="min"/>
        <cfvo type="percentile" val="50"/>
        <cfvo type="max"/>
        <color rgb="001B7A3D"/>
        <color rgb="00F1C40F"/>
        <color rgb="00C0392B"/>
      </colorScale>
    </cfRule>
  </conditionalFormatting>
  <conditionalFormatting sqref="H5:H55">
    <cfRule type="dataBar" priority="2">
      <dataBar showValue="1">
        <cfvo type="min"/>
        <cfvo type="max"/>
        <color rgb="007D3C98"/>
      </dataBar>
    </cfRule>
  </conditionalFormatting>
  <conditionalFormatting sqref="C5:C55">
    <cfRule type="cellIs" priority="3" operator="equal" dxfId="0">
      <formula>"Complete"</formula>
    </cfRule>
    <cfRule type="cellIs" priority="4" operator="equal" dxfId="1">
      <formula>"In Progress"</formula>
    </cfRule>
    <cfRule type="cellIs" priority="5" operator="equal" dxfId="2">
      <formula>"Idea"</formula>
    </cfRule>
    <cfRule type="cellIs" priority="6" operator="equal" dxfId="3">
      <formula>"On Hold"</formula>
    </cfRule>
  </conditionalFormatting>
  <dataValidations count="2">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1" type="list">
      <formula1>"Painting,Writing,Music,Photography,DIY,Craft,Woodworking,Knitting,Digital Art,Gardening,Other"</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"Idea,Planning,In Progress,Complete,On Hold,Abandoned"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Pottery &amp; Ceramics Studio Log</t>
        </is>
      </c>
    </row>
    <row r="3" ht="24" customHeight="1">
      <c r="A3" s="9" t="inlineStr">
        <is>
          <t>Overview</t>
        </is>
      </c>
    </row>
    <row r="4" ht="48" customHeight="1">
      <c r="A4" s="10" t="inlineStr">
        <is>
          <t>Inspiring pottery &amp; ceramics studio log to nurture your creativity and track your creative journey.</t>
        </is>
      </c>
    </row>
    <row r="6" ht="26" customHeight="1">
      <c r="A6" s="11" t="inlineStr">
        <is>
          <t>Create</t>
        </is>
      </c>
    </row>
    <row r="7" ht="22" customHeight="1">
      <c r="A7" s="10" t="inlineStr">
        <is>
          <t>• Log all creative projects and ideas</t>
        </is>
      </c>
    </row>
    <row r="8" ht="22" customHeight="1">
      <c r="A8" s="10" t="inlineStr">
        <is>
          <t>• Track time spent and materials used</t>
        </is>
      </c>
    </row>
    <row r="9" ht="22" customHeight="1">
      <c r="A9" s="10" t="inlineStr">
        <is>
          <t>• Rate difficulty and satisfaction</t>
        </is>
      </c>
    </row>
    <row r="11" ht="26" customHeight="1">
      <c r="A11" s="11" t="inlineStr">
        <is>
          <t>Grow</t>
        </is>
      </c>
    </row>
    <row r="12" ht="22" customHeight="1">
      <c r="A12" s="10" t="inlineStr">
        <is>
          <t>• Review completed projects for learning</t>
        </is>
      </c>
    </row>
    <row r="13" ht="22" customHeight="1">
      <c r="A13" s="10" t="inlineStr">
        <is>
          <t>• Plan next creative challenges</t>
        </is>
      </c>
    </row>
    <row r="14" ht="22" customHeight="1">
      <c r="A14" s="10" t="inlineStr">
        <is>
          <t>• Build on skills progressively</t>
        </is>
      </c>
    </row>
    <row r="16" ht="26" customHeight="1">
      <c r="A16" s="11" t="inlineStr">
        <is>
          <t>Pro Tips</t>
        </is>
      </c>
    </row>
    <row r="17" ht="24" customHeight="1">
      <c r="A17" s="10" t="inlineStr">
        <is>
          <t>💡 Don't wait for perfection — start creating and iterate</t>
        </is>
      </c>
    </row>
    <row r="18" ht="24" customHeight="1">
      <c r="A18" s="10" t="inlineStr">
        <is>
          <t>💡 Track your progress to see skill improvement over time</t>
        </is>
      </c>
    </row>
    <row r="19" ht="24" customHeight="1">
      <c r="A19" s="10" t="inlineStr">
        <is>
          <t>💡 Join creative communities for feedback and inspiration</t>
        </is>
      </c>
    </row>
    <row r="21" ht="26" customHeight="1">
      <c r="A21" s="11" t="inlineStr">
        <is>
          <t>Key Formulas Used</t>
        </is>
      </c>
    </row>
    <row r="22" ht="19" customHeight="1">
      <c r="A22" s="12" t="inlineStr">
        <is>
          <t xml:space="preserve">  = NETWORKDAYS for project duration</t>
        </is>
      </c>
    </row>
    <row r="23" ht="19" customHeight="1">
      <c r="A23" s="12" t="inlineStr">
        <is>
          <t xml:space="preserve">  = AVERAGE for satisfaction trends</t>
        </is>
      </c>
    </row>
    <row r="24" ht="19" customHeight="1">
      <c r="A24" s="12" t="inlineStr">
        <is>
          <t xml:space="preserve">  = SUM for material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Pottery &amp; Ceramics Studio Log</t>
        </is>
      </c>
    </row>
    <row r="3" ht="22" customHeight="1">
      <c r="A3" s="13" t="inlineStr">
        <is>
          <t>Template Name:</t>
        </is>
      </c>
      <c r="B3" s="14" t="inlineStr">
        <is>
          <t>Pottery &amp; Ceramics Studio Log</t>
        </is>
      </c>
    </row>
    <row r="4" ht="22" customHeight="1">
      <c r="A4" s="13" t="inlineStr">
        <is>
          <t>Category:</t>
        </is>
      </c>
      <c r="B4" s="14" t="inlineStr">
        <is>
          <t>Creative &amp; Hobbies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pottery &amp; ceramics studio log,creative,hobbies,crafts,art,DIY,excel template,creativity,PlanoraNest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