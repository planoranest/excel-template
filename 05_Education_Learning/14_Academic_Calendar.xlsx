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4">
    <dxf>
      <fill>
        <patternFill patternType="solid">
          <fgColor rgb="00D5F5E3"/>
          <bgColor rgb="00D5F5E3"/>
        </patternFill>
      </fill>
    </dxf>
    <dxf>
      <fill>
        <patternFill patternType="solid">
          <fgColor rgb="00D6EAF8"/>
          <bgColor rgb="00D6EAF8"/>
        </patternFill>
      </fill>
    </dxf>
    <dxf>
      <fill>
        <patternFill patternType="solid">
          <fgColor rgb="00EAECEE"/>
          <bgColor rgb="00EAECEE"/>
        </patternFill>
      </fill>
    </dxf>
    <dxf>
      <fill>
        <patternFill patternType="solid">
          <fgColor rgb="00FADBD8"/>
          <bgColor rgb="00FADBD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N55"/>
  <sheetViews>
    <sheetView workbookViewId="0">
      <pane ySplit="4" topLeftCell="A5" activePane="bottomLeft" state="frozen"/>
      <selection pane="bottomLeft" activeCell="A1" sqref="A1"/>
    </sheetView>
  </sheetViews>
  <sheetFormatPr baseColWidth="8" defaultRowHeight="15"/>
  <cols>
    <col width="22" customWidth="1" min="1" max="1"/>
    <col width="15" customWidth="1" min="2" max="2"/>
    <col width="12" customWidth="1" min="3" max="3"/>
    <col width="11" customWidth="1" min="4" max="4"/>
    <col width="11" customWidth="1" min="5" max="5"/>
    <col width="11" customWidth="1" min="6" max="6"/>
    <col width="10" customWidth="1" min="7" max="7"/>
    <col width="8" customWidth="1" min="8" max="8"/>
    <col width="12" customWidth="1" min="9" max="9"/>
    <col width="11" customWidth="1" min="10" max="10"/>
    <col width="9" customWidth="1" min="11" max="11"/>
    <col width="10" customWidth="1" min="12" max="12"/>
    <col width="18" customWidth="1" min="13" max="13"/>
  </cols>
  <sheetData>
    <row r="1" ht="36" customHeight="1">
      <c r="A1" s="1" t="inlineStr">
        <is>
          <t>Academic Semester Calendar</t>
        </is>
      </c>
    </row>
    <row r="2" ht="20" customHeight="1">
      <c r="A2" s="2" t="inlineStr">
        <is>
          <t>Plan entire semester with class schedule, exam dates &amp; project deadlines</t>
        </is>
      </c>
    </row>
    <row r="3" ht="6" customHeight="1"/>
    <row r="4" ht="30" customHeight="1">
      <c r="A4" s="3" t="inlineStr">
        <is>
          <t>Course/Topic</t>
        </is>
      </c>
      <c r="B4" s="3" t="inlineStr">
        <is>
          <t>Provider</t>
        </is>
      </c>
      <c r="C4" s="3" t="inlineStr">
        <is>
          <t>Category</t>
        </is>
      </c>
      <c r="D4" s="3" t="inlineStr">
        <is>
          <t>Start Date</t>
        </is>
      </c>
      <c r="E4" s="3" t="inlineStr">
        <is>
          <t>End Date</t>
        </is>
      </c>
      <c r="F4" s="3" t="inlineStr">
        <is>
          <t>Duration(Days)</t>
        </is>
      </c>
      <c r="G4" s="3" t="inlineStr">
        <is>
          <t>Progress(%)</t>
        </is>
      </c>
      <c r="H4" s="3" t="inlineStr">
        <is>
          <t>Grade</t>
        </is>
      </c>
      <c r="I4" s="3" t="inlineStr">
        <is>
          <t>Status</t>
        </is>
      </c>
      <c r="J4" s="3" t="inlineStr">
        <is>
          <t>Credits/Cert</t>
        </is>
      </c>
      <c r="K4" s="3" t="inlineStr">
        <is>
          <t>Cost($)</t>
        </is>
      </c>
      <c r="L4" s="3" t="inlineStr">
        <is>
          <t>ROI Rating</t>
        </is>
      </c>
      <c r="M4" s="3" t="inlineStr">
        <is>
          <t>Notes</t>
        </is>
      </c>
    </row>
    <row r="5">
      <c r="A5" s="4" t="inlineStr">
        <is>
          <t>Advanced Python Programming</t>
        </is>
      </c>
      <c r="B5" s="4" t="inlineStr">
        <is>
          <t>Coursera</t>
        </is>
      </c>
      <c r="C5" s="4" t="inlineStr">
        <is>
          <t>Technical</t>
        </is>
      </c>
      <c r="D5" s="4" t="inlineStr">
        <is>
          <t>2025-06-01</t>
        </is>
      </c>
      <c r="E5" s="4" t="inlineStr">
        <is>
          <t>2025-08-31</t>
        </is>
      </c>
      <c r="F5" s="4">
        <f>IF(AND(D5&lt;&gt;"",E5&lt;&gt;""),NETWORKDAYS(D5,E5),"")</f>
        <v/>
      </c>
      <c r="G5" s="4" t="inlineStr"/>
      <c r="H5" s="4" t="n">
        <v>75</v>
      </c>
      <c r="I5" s="4" t="inlineStr">
        <is>
          <t>A-</t>
        </is>
      </c>
      <c r="J5" s="4" t="inlineStr">
        <is>
          <t>In Progress</t>
        </is>
      </c>
      <c r="K5" s="4" t="inlineStr">
        <is>
          <t>4 credits</t>
        </is>
      </c>
      <c r="L5" s="4">
        <f>IF(AND(G5&lt;&gt;"",G5&gt;50,K5&lt;&gt;""),IF(K5&gt;0,ROUND(G5*100/K5,1),""),"")</f>
        <v/>
      </c>
      <c r="M5" s="4" t="n">
        <v>49</v>
      </c>
    </row>
    <row r="6">
      <c r="A6" s="5" t="inlineStr">
        <is>
          <t>Machine Learning Specialization</t>
        </is>
      </c>
      <c r="B6" s="5" t="inlineStr">
        <is>
          <t>Stanford Online</t>
        </is>
      </c>
      <c r="C6" s="5" t="inlineStr">
        <is>
          <t>Technical</t>
        </is>
      </c>
      <c r="D6" s="5" t="inlineStr">
        <is>
          <t>2025-05-15</t>
        </is>
      </c>
      <c r="E6" s="5" t="inlineStr">
        <is>
          <t>2025-09-15</t>
        </is>
      </c>
      <c r="F6" s="5">
        <f>IF(AND(D6&lt;&gt;"",E6&lt;&gt;""),NETWORKDAYS(D6,E6),"")</f>
        <v/>
      </c>
      <c r="G6" s="5" t="inlineStr"/>
      <c r="H6" s="5" t="n">
        <v>60</v>
      </c>
      <c r="I6" s="5" t="inlineStr">
        <is>
          <t>B+</t>
        </is>
      </c>
      <c r="J6" s="5" t="inlineStr">
        <is>
          <t>In Progress</t>
        </is>
      </c>
      <c r="K6" s="5" t="inlineStr">
        <is>
          <t>Certificate</t>
        </is>
      </c>
      <c r="L6" s="5">
        <f>IF(AND(G6&lt;&gt;"",G6&gt;50,K6&lt;&gt;""),IF(K6&gt;0,ROUND(G6*100/K6,1),""),"")</f>
        <v/>
      </c>
      <c r="M6" s="5" t="n">
        <v>79</v>
      </c>
    </row>
    <row r="7">
      <c r="A7" s="4" t="inlineStr">
        <is>
          <t>Business Communication</t>
        </is>
      </c>
      <c r="B7" s="4" t="inlineStr">
        <is>
          <t>LinkedIn Learning</t>
        </is>
      </c>
      <c r="C7" s="4" t="inlineStr">
        <is>
          <t>Soft Skills</t>
        </is>
      </c>
      <c r="D7" s="4" t="inlineStr">
        <is>
          <t>2025-07-01</t>
        </is>
      </c>
      <c r="E7" s="4" t="inlineStr">
        <is>
          <t>2025-08-15</t>
        </is>
      </c>
      <c r="F7" s="4">
        <f>IF(AND(D7&lt;&gt;"",E7&lt;&gt;""),NETWORKDAYS(D7,E7),"")</f>
        <v/>
      </c>
      <c r="G7" s="4" t="inlineStr"/>
      <c r="H7" s="4" t="n">
        <v>40</v>
      </c>
      <c r="I7" s="4" t="inlineStr"/>
      <c r="J7" s="4" t="inlineStr">
        <is>
          <t>Enrolled</t>
        </is>
      </c>
      <c r="K7" s="4" t="inlineStr">
        <is>
          <t>1 credit</t>
        </is>
      </c>
      <c r="L7" s="4">
        <f>IF(AND(G7&lt;&gt;"",G7&gt;50,K7&lt;&gt;""),IF(K7&gt;0,ROUND(G7*100/K7,1),""),"")</f>
        <v/>
      </c>
      <c r="M7" s="4" t="n">
        <v>29.99</v>
      </c>
    </row>
    <row r="8">
      <c r="A8" s="5" t="inlineStr">
        <is>
          <t>Data Visualization Masterclass</t>
        </is>
      </c>
      <c r="B8" s="5" t="inlineStr">
        <is>
          <t>Udemy</t>
        </is>
      </c>
      <c r="C8" s="5" t="inlineStr">
        <is>
          <t>Technical</t>
        </is>
      </c>
      <c r="D8" s="5" t="inlineStr">
        <is>
          <t>2025-08-01</t>
        </is>
      </c>
      <c r="E8" s="5" t="inlineStr"/>
      <c r="F8" s="5">
        <f>IF(AND(D8&lt;&gt;"",E8&lt;&gt;""),NETWORKDAYS(D8,E8),"")</f>
        <v/>
      </c>
      <c r="G8" s="5" t="inlineStr"/>
      <c r="H8" s="5" t="inlineStr"/>
      <c r="I8" s="5" t="inlineStr"/>
      <c r="J8" s="5" t="inlineStr">
        <is>
          <t>Planned</t>
        </is>
      </c>
      <c r="K8" s="5" t="inlineStr">
        <is>
          <t>Certificate</t>
        </is>
      </c>
      <c r="L8" s="5">
        <f>IF(AND(G8&lt;&gt;"",G8&gt;50,K8&lt;&gt;""),IF(K8&gt;0,ROUND(G8*100/K8,1),""),"")</f>
        <v/>
      </c>
      <c r="M8" s="5" t="n">
        <v>19.99</v>
      </c>
    </row>
    <row r="9">
      <c r="A9" s="4" t="inlineStr">
        <is>
          <t>Leadership Fundamentals</t>
        </is>
      </c>
      <c r="B9" s="4" t="inlineStr">
        <is>
          <t>Harvard Online</t>
        </is>
      </c>
      <c r="C9" s="4" t="inlineStr">
        <is>
          <t>Management</t>
        </is>
      </c>
      <c r="D9" s="4" t="inlineStr">
        <is>
          <t>2025-09-01</t>
        </is>
      </c>
      <c r="E9" s="4" t="inlineStr"/>
      <c r="F9" s="4">
        <f>IF(AND(D9&lt;&gt;"",E9&lt;&gt;""),NETWORKDAYS(D9,E9),"")</f>
        <v/>
      </c>
      <c r="G9" s="4" t="inlineStr"/>
      <c r="H9" s="4" t="inlineStr"/>
      <c r="I9" s="4" t="inlineStr"/>
      <c r="J9" s="4" t="inlineStr">
        <is>
          <t>Planned</t>
        </is>
      </c>
      <c r="K9" s="4" t="inlineStr">
        <is>
          <t>Certificate</t>
        </is>
      </c>
      <c r="L9" s="4">
        <f>IF(AND(G9&lt;&gt;"",G9&gt;50,K9&lt;&gt;""),IF(K9&gt;0,ROUND(G9*100/K9,1),""),"")</f>
        <v/>
      </c>
      <c r="M9" s="4" t="n">
        <v>199</v>
      </c>
    </row>
    <row r="10"/>
    <row r="11" ht="26" customHeight="1">
      <c r="A11" s="6" t="inlineStr">
        <is>
          <t>📊 LEARNING ANALYTICS</t>
        </is>
      </c>
    </row>
    <row r="12">
      <c r="A12" s="7" t="inlineStr">
        <is>
          <t>Total Courses</t>
        </is>
      </c>
      <c r="B12" s="4">
        <f>COUNTA(A5:A9)</f>
        <v/>
      </c>
      <c r="C12" s="4" t="inlineStr"/>
      <c r="D12" s="4" t="inlineStr"/>
      <c r="E12" s="4" t="inlineStr">
        <is>
          <t>Completed</t>
        </is>
      </c>
      <c r="F12" s="4">
        <f>COUNTIF(I5:I9,"Complete")</f>
        <v/>
      </c>
      <c r="G12" s="4" t="inlineStr"/>
      <c r="H12" s="4" t="inlineStr"/>
      <c r="I12" s="4" t="inlineStr">
        <is>
          <t>Total Spent</t>
        </is>
      </c>
      <c r="J12" s="4">
        <f>SUM(K5:K9)</f>
        <v/>
      </c>
      <c r="K12" s="4" t="inlineStr"/>
      <c r="L12" s="4" t="inlineStr"/>
      <c r="M12" s="4" t="inlineStr">
        <is>
          <t>Avg Progress</t>
        </is>
      </c>
      <c r="N12" s="4">
        <f>AVERAGE(G5:G9)/100</f>
        <v/>
      </c>
    </row>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2:M2"/>
    <mergeCell ref="A11:M11"/>
    <mergeCell ref="A1:M1"/>
  </mergeCells>
  <conditionalFormatting sqref="G5:G55">
    <cfRule type="dataBar" priority="1">
      <dataBar showValue="1">
        <cfvo type="min"/>
        <cfvo type="max"/>
        <color rgb="002E75B6"/>
      </dataBar>
    </cfRule>
  </conditionalFormatting>
  <conditionalFormatting sqref="L5:L55">
    <cfRule type="colorScale" priority="2">
      <colorScale>
        <cfvo type="min"/>
        <cfvo type="percentile" val="50"/>
        <cfvo type="max"/>
        <color rgb="00C0392B"/>
        <color rgb="00F1C40F"/>
        <color rgb="001B7A3D"/>
      </colorScale>
    </cfRule>
  </conditionalFormatting>
  <conditionalFormatting sqref="I5:I55">
    <cfRule type="cellIs" priority="3" operator="equal" dxfId="0">
      <formula>"Complete"</formula>
    </cfRule>
    <cfRule type="cellIs" priority="4" operator="equal" dxfId="1">
      <formula>"In Progress"</formula>
    </cfRule>
    <cfRule type="cellIs" priority="5" operator="equal" dxfId="2">
      <formula>"Planned"</formula>
    </cfRule>
    <cfRule type="cellIs" priority="6" operator="equal" dxfId="3">
      <formula>"Dropped"</formula>
    </cfRule>
  </conditionalFormatting>
  <dataValidations count="2">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"Technical,Soft Skills,Business,Creative,Language,Certification,Other"</formula1>
    </dataValidation>
    <dataValidation sqref="I5 I6 I7 I8 I9 I10 I11 I12 I13 I14 I15 I16 I17 I18 I19 I20 I21 I22 I23 I24 I25 I26 I27 I28 I29 I30 I31 I32 I33 I34 I35 I36 I37 I38 I39 I40 I41 I42 I43 I44 I45 I46 I47 I48 I49 I50 I51 I52 I53 I54 I55" showDropDown="0" showInputMessage="0" showErrorMessage="0" allowBlank="1" type="list">
      <formula1>"Planned,In Progress,Complete,Dropped,On Hold"</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Academic Semester Calendar</t>
        </is>
      </c>
    </row>
    <row r="3" ht="24" customHeight="1">
      <c r="A3" s="9" t="inlineStr">
        <is>
          <t>Overview</t>
        </is>
      </c>
    </row>
    <row r="4" ht="48" customHeight="1">
      <c r="A4" s="10" t="inlineStr">
        <is>
          <t>Comprehensive academic semester calendar to organize and optimize your learning journey.</t>
        </is>
      </c>
    </row>
    <row r="6" ht="26" customHeight="1">
      <c r="A6" s="11" t="inlineStr">
        <is>
          <t>Plan</t>
        </is>
      </c>
    </row>
    <row r="7" ht="22" customHeight="1">
      <c r="A7" s="10" t="inlineStr">
        <is>
          <t>• Define your learning objectives and curriculum</t>
        </is>
      </c>
    </row>
    <row r="8" ht="22" customHeight="1">
      <c r="A8" s="10" t="inlineStr">
        <is>
          <t>• Set realistic timelines and milestones</t>
        </is>
      </c>
    </row>
    <row r="9" ht="22" customHeight="1">
      <c r="A9" s="10" t="inlineStr">
        <is>
          <t>• Allocate resources and budget</t>
        </is>
      </c>
    </row>
    <row r="11" ht="26" customHeight="1">
      <c r="A11" s="11" t="inlineStr">
        <is>
          <t>Track</t>
        </is>
      </c>
    </row>
    <row r="12" ht="22" customHeight="1">
      <c r="A12" s="10" t="inlineStr">
        <is>
          <t>• Log study hours and progress</t>
        </is>
      </c>
    </row>
    <row r="13" ht="22" customHeight="1">
      <c r="A13" s="10" t="inlineStr">
        <is>
          <t>• Record grades, scores and achievements</t>
        </is>
      </c>
    </row>
    <row r="14" ht="22" customHeight="1">
      <c r="A14" s="10" t="inlineStr">
        <is>
          <t>• Review learning outcomes periodically</t>
        </is>
      </c>
    </row>
    <row r="16" ht="26" customHeight="1">
      <c r="A16" s="11" t="inlineStr">
        <is>
          <t>Pro Tips</t>
        </is>
      </c>
    </row>
    <row r="17" ht="24" customHeight="1">
      <c r="A17" s="10" t="inlineStr">
        <is>
          <t>💡 Focus on one major course at a time for depth</t>
        </is>
      </c>
    </row>
    <row r="18" ht="24" customHeight="1">
      <c r="A18" s="10" t="inlineStr">
        <is>
          <t>💡 Schedule regular study blocks in your calendar</t>
        </is>
      </c>
    </row>
    <row r="19" ht="24" customHeight="1">
      <c r="A19" s="10" t="inlineStr">
        <is>
          <t>💡 Apply learning through projects, not just courses</t>
        </is>
      </c>
    </row>
    <row r="21" ht="26" customHeight="1">
      <c r="A21" s="11" t="inlineStr">
        <is>
          <t>Key Formulas Used</t>
        </is>
      </c>
    </row>
    <row r="22" ht="19" customHeight="1">
      <c r="A22" s="12" t="inlineStr">
        <is>
          <t xml:space="preserve">  = NETWORKDAYS for duration</t>
        </is>
      </c>
    </row>
    <row r="23" ht="19" customHeight="1">
      <c r="A23" s="12" t="inlineStr">
        <is>
          <t xml:space="preserve">  = AVERAGE for grade calculation</t>
        </is>
      </c>
    </row>
    <row r="24" ht="19" customHeight="1">
      <c r="A24" s="12" t="inlineStr">
        <is>
          <t xml:space="preserve">  = SUM for total credits/costs</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Academic Semester Calendar</t>
        </is>
      </c>
    </row>
    <row r="3" ht="22" customHeight="1">
      <c r="A3" s="13" t="inlineStr">
        <is>
          <t>Template Name:</t>
        </is>
      </c>
      <c r="B3" s="14" t="inlineStr">
        <is>
          <t>Academic Semester Calendar</t>
        </is>
      </c>
    </row>
    <row r="4" ht="22" customHeight="1">
      <c r="A4" s="13" t="inlineStr">
        <is>
          <t>Category:</t>
        </is>
      </c>
      <c r="B4" s="14" t="inlineStr">
        <is>
          <t>Education &amp; Learning</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13 columns with structured data entry</t>
        </is>
      </c>
    </row>
    <row r="15" ht="21" customHeight="1">
      <c r="A15" s="10" t="inlineStr">
        <is>
          <t xml:space="preserve">  • 5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academic semester calendar,education,learning,study,excel template,student,academic,PlanoraNest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2026-06-21T05:24:07Z</dcterms:created>
  <dcterms:modified xsi:type="dcterms:W3CDTF">2026-06-21T05:24:07Z</dcterms:modified>
</cp:coreProperties>
</file>