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Roth vs Traditional IRA/401(k) Comparison</t>
        </is>
      </c>
    </row>
    <row r="2" ht="20" customHeight="1">
      <c r="A2" s="2" t="inlineStr">
        <is>
          <t>Compare retirement accounts to optimize your lifetime tax strategy</t>
        </is>
      </c>
    </row>
    <row r="3" ht="6" customHeight="1"/>
    <row r="4" ht="30" customHeight="1">
      <c r="A4" s="3" t="inlineStr">
        <is>
          <t>Parameter</t>
        </is>
      </c>
      <c r="B4" s="3" t="inlineStr">
        <is>
          <t>Value</t>
        </is>
      </c>
      <c r="C4" s="3" t="inlineStr">
        <is>
          <t>Unit</t>
        </is>
      </c>
      <c r="D4" s="3" t="inlineStr">
        <is>
          <t>Notes</t>
        </is>
      </c>
    </row>
    <row r="5">
      <c r="A5" s="4" t="inlineStr">
        <is>
          <t>Current Annual Income</t>
        </is>
      </c>
      <c r="B5" s="4" t="n">
        <v>85000</v>
      </c>
      <c r="C5" s="4" t="inlineStr">
        <is>
          <t>$</t>
        </is>
      </c>
      <c r="D5" s="4" t="inlineStr"/>
    </row>
    <row r="6">
      <c r="A6" s="5" t="inlineStr">
        <is>
          <t>Current Tax Rate</t>
        </is>
      </c>
      <c r="B6" s="5" t="n">
        <v>24</v>
      </c>
      <c r="C6" s="5" t="inlineStr">
        <is>
          <t>%</t>
        </is>
      </c>
      <c r="D6" s="5" t="inlineStr"/>
    </row>
    <row r="7">
      <c r="A7" s="4" t="inlineStr">
        <is>
          <t>Expected Retirement Tax Rate</t>
        </is>
      </c>
      <c r="B7" s="4" t="n">
        <v>22</v>
      </c>
      <c r="C7" s="4" t="inlineStr">
        <is>
          <t>%</t>
        </is>
      </c>
      <c r="D7" s="4" t="inlineStr"/>
    </row>
    <row r="8">
      <c r="A8" s="5" t="inlineStr">
        <is>
          <t>Annual Contribution</t>
        </is>
      </c>
      <c r="B8" s="5" t="n">
        <v>7000</v>
      </c>
      <c r="C8" s="5" t="inlineStr">
        <is>
          <t>$</t>
        </is>
      </c>
      <c r="D8" s="5" t="inlineStr"/>
    </row>
    <row r="9">
      <c r="A9" s="4" t="inlineStr">
        <is>
          <t>Years Until Retirement</t>
        </is>
      </c>
      <c r="B9" s="4" t="n">
        <v>30</v>
      </c>
      <c r="C9" s="4" t="inlineStr">
        <is>
          <t>years</t>
        </is>
      </c>
      <c r="D9" s="4" t="inlineStr"/>
    </row>
    <row r="10">
      <c r="A10" s="5" t="inlineStr">
        <is>
          <t>Expected Annual Return</t>
        </is>
      </c>
      <c r="B10" s="5" t="n">
        <v>7</v>
      </c>
      <c r="C10" s="5" t="inlineStr">
        <is>
          <t>%</t>
        </is>
      </c>
      <c r="D10" s="5" t="inlineStr"/>
    </row>
    <row r="11">
      <c r="A11" s="4" t="inlineStr">
        <is>
          <t>══════════════════</t>
        </is>
      </c>
      <c r="B11" s="4" t="inlineStr"/>
      <c r="C11" s="4" t="inlineStr"/>
      <c r="D11" s="4" t="inlineStr"/>
    </row>
    <row r="12">
      <c r="A12" s="5" t="inlineStr">
        <is>
          <t>📊 CALCULATIONS</t>
        </is>
      </c>
      <c r="B12" s="5" t="inlineStr"/>
      <c r="C12" s="5" t="inlineStr"/>
      <c r="D12" s="5" t="inlineStr"/>
    </row>
    <row r="13">
      <c r="A13" s="4" t="inlineStr">
        <is>
          <t>Roth: After-Tax Contribution</t>
        </is>
      </c>
      <c r="B13" s="4">
        <f>B4*(1-B2/100)</f>
        <v/>
      </c>
      <c r="C13" s="4" t="inlineStr">
        <is>
          <t>$/yr</t>
        </is>
      </c>
      <c r="D13" s="4" t="inlineStr"/>
    </row>
    <row r="14">
      <c r="A14" s="5" t="inlineStr">
        <is>
          <t>Roth: Future Value</t>
        </is>
      </c>
      <c r="B14" s="5">
        <f>FV(B6/100,B5,-B4*(1-B2/100),0)</f>
        <v/>
      </c>
      <c r="C14" s="5" t="inlineStr">
        <is>
          <t>$</t>
        </is>
      </c>
      <c r="D14" s="5" t="inlineStr">
        <is>
          <t>Tax-free</t>
        </is>
      </c>
    </row>
    <row r="15">
      <c r="A15" s="4" t="inlineStr">
        <is>
          <t>Traditional: Future Value</t>
        </is>
      </c>
      <c r="B15" s="4">
        <f>FV(B6/100,B5,-B4,0)</f>
        <v/>
      </c>
      <c r="C15" s="4" t="inlineStr">
        <is>
          <t>$</t>
        </is>
      </c>
      <c r="D15" s="4" t="inlineStr">
        <is>
          <t>Pre-tax</t>
        </is>
      </c>
    </row>
    <row r="16">
      <c r="A16" s="5" t="inlineStr">
        <is>
          <t>Traditional: After-Tax Value</t>
        </is>
      </c>
      <c r="B16" s="5">
        <f>B8*(1-B3/100)</f>
        <v/>
      </c>
      <c r="C16" s="5" t="inlineStr">
        <is>
          <t>$</t>
        </is>
      </c>
      <c r="D16" s="5" t="inlineStr"/>
    </row>
    <row r="17">
      <c r="A17" s="4" t="inlineStr">
        <is>
          <t>Roth Advantage</t>
        </is>
      </c>
      <c r="B17" s="4">
        <f>B7-B9</f>
        <v/>
      </c>
      <c r="C17" s="4" t="inlineStr">
        <is>
          <t>$</t>
        </is>
      </c>
      <c r="D17" s="4" t="inlineStr"/>
    </row>
    <row r="18">
      <c r="A18" s="5" t="inlineStr"/>
      <c r="B18" s="5" t="inlineStr"/>
      <c r="C18" s="5" t="inlineStr"/>
      <c r="D18" s="5" t="inlineStr"/>
    </row>
    <row r="19">
      <c r="A19" s="4" t="inlineStr">
        <is>
          <t>🎯 Roth vs Traditional Advantage:</t>
        </is>
      </c>
      <c r="B19" s="4">
        <f>B7-B9</f>
        <v/>
      </c>
      <c r="C19" s="4" t="inlineStr"/>
      <c r="D19" s="4" t="inlineStr">
        <is>
          <t>← Key decision metric</t>
        </is>
      </c>
    </row>
    <row r="20">
      <c r="A20" s="5" t="inlineStr"/>
      <c r="B20" s="5" t="inlineStr"/>
      <c r="C20" s="5" t="inlineStr"/>
      <c r="D20" s="5" t="inlineStr"/>
    </row>
    <row r="21">
      <c r="A21" s="4" t="inlineStr">
        <is>
          <t>📈 SCENARIO ANALYSIS</t>
        </is>
      </c>
      <c r="B21" s="4" t="inlineStr"/>
      <c r="C21" s="4" t="inlineStr"/>
      <c r="D21" s="4" t="inlineStr"/>
    </row>
    <row r="22">
      <c r="A22" s="5" t="inlineStr">
        <is>
          <t>Optimistic Scenario</t>
        </is>
      </c>
      <c r="B22" s="5" t="inlineStr"/>
      <c r="C22" s="5" t="inlineStr"/>
      <c r="D22" s="5" t="inlineStr">
        <is>
          <t>Change input values above to see impact</t>
        </is>
      </c>
    </row>
    <row r="23">
      <c r="A23" s="4" t="inlineStr">
        <is>
          <t>Pessimistic Scenario</t>
        </is>
      </c>
      <c r="B23" s="4" t="inlineStr"/>
      <c r="C23" s="4" t="inlineStr"/>
      <c r="D23" s="4" t="inlineStr">
        <is>
          <t>Change input values above to see impact</t>
        </is>
      </c>
    </row>
    <row r="24">
      <c r="A24" s="5" t="inlineStr">
        <is>
          <t>Most Likely Scenario</t>
        </is>
      </c>
      <c r="B24" s="5" t="inlineStr"/>
      <c r="C24" s="5" t="inlineStr"/>
      <c r="D24" s="5" t="inlineStr">
        <is>
          <t>This is your base case above</t>
        </is>
      </c>
    </row>
    <row r="25"/>
    <row r="26" ht="26" customHeight="1">
      <c r="A26" s="6" t="inlineStr">
        <is>
          <t>📊 QUICK SUMMARY</t>
        </is>
      </c>
    </row>
    <row r="27">
      <c r="A27" s="7" t="inlineStr">
        <is>
          <t>Total Inputs</t>
        </is>
      </c>
      <c r="B27" s="4">
        <f>COUNTA(A5:A10)</f>
        <v/>
      </c>
      <c r="C27" s="4" t="inlineStr"/>
      <c r="D27" s="4" t="inlineStr"/>
      <c r="E27" s="4" t="inlineStr">
        <is>
          <t>Total Calculations</t>
        </is>
      </c>
      <c r="F27" s="4">
        <f>COUNTA(A13:A17)</f>
        <v/>
      </c>
    </row>
    <row r="28"/>
    <row r="29"/>
    <row r="30"/>
    <row r="31"/>
    <row r="32"/>
    <row r="33"/>
    <row r="34"/>
    <row r="35"/>
    <row r="36"/>
    <row r="37"/>
    <row r="38"/>
    <row r="39"/>
    <row r="40"/>
    <row r="41"/>
    <row r="42"/>
    <row r="43"/>
    <row r="44"/>
    <row r="45"/>
    <row r="46"/>
    <row r="47"/>
    <row r="48"/>
    <row r="49"/>
    <row r="50"/>
    <row r="51"/>
    <row r="52"/>
    <row r="53"/>
    <row r="54"/>
    <row r="55"/>
  </sheetData>
  <mergeCells count="3">
    <mergeCell ref="A1:D1"/>
    <mergeCell ref="A26:D26"/>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Roth vs Traditional IRA/401(k) Comparison</t>
        </is>
      </c>
    </row>
    <row r="3" ht="24" customHeight="1">
      <c r="A3" s="9" t="inlineStr">
        <is>
          <t>Overview</t>
        </is>
      </c>
    </row>
    <row r="4" ht="48" customHeight="1">
      <c r="A4" s="10" t="inlineStr">
        <is>
          <t>A comprehensive roth vs traditional ira/401(k) comparison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Roth vs Traditional IRA/401(k) Comparison</t>
        </is>
      </c>
    </row>
    <row r="3" ht="22" customHeight="1">
      <c r="A3" s="13" t="inlineStr">
        <is>
          <t>Template Name:</t>
        </is>
      </c>
      <c r="B3" s="14" t="inlineStr">
        <is>
          <t>Roth vs Traditional IRA/401(k) Comparison</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20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roth vs traditional ira/401(k) comparison,investment,finance,excel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