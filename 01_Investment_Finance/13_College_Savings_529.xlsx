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College Savings 529 Plan Calculator</t>
        </is>
      </c>
    </row>
    <row r="2" ht="20" customHeight="1">
      <c r="A2" s="2" t="inlineStr">
        <is>
          <t>Project education costs with inflation, 529 contribution planning &amp; financial aid estimation</t>
        </is>
      </c>
    </row>
    <row r="3" ht="6" customHeight="1"/>
    <row r="4" ht="30" customHeight="1">
      <c r="A4" s="3" t="inlineStr">
        <is>
          <t>Parameter</t>
        </is>
      </c>
      <c r="B4" s="3" t="inlineStr">
        <is>
          <t>Value</t>
        </is>
      </c>
      <c r="C4" s="3" t="inlineStr">
        <is>
          <t>Unit</t>
        </is>
      </c>
      <c r="D4" s="3" t="inlineStr">
        <is>
          <t>Notes</t>
        </is>
      </c>
    </row>
    <row r="5">
      <c r="A5" s="4" t="inlineStr">
        <is>
          <t>Child's Current Age</t>
        </is>
      </c>
      <c r="B5" s="4" t="n">
        <v>8</v>
      </c>
      <c r="C5" s="4" t="inlineStr">
        <is>
          <t>years</t>
        </is>
      </c>
      <c r="D5" s="4" t="inlineStr"/>
    </row>
    <row r="6">
      <c r="A6" s="5" t="inlineStr">
        <is>
          <t>College Start Age</t>
        </is>
      </c>
      <c r="B6" s="5" t="n">
        <v>18</v>
      </c>
      <c r="C6" s="5" t="inlineStr">
        <is>
          <t>years</t>
        </is>
      </c>
      <c r="D6" s="5" t="inlineStr"/>
    </row>
    <row r="7">
      <c r="A7" s="4" t="inlineStr">
        <is>
          <t>Current 529 Balance</t>
        </is>
      </c>
      <c r="B7" s="4" t="n">
        <v>25000</v>
      </c>
      <c r="C7" s="4" t="inlineStr">
        <is>
          <t>$</t>
        </is>
      </c>
      <c r="D7" s="4" t="inlineStr"/>
    </row>
    <row r="8">
      <c r="A8" s="5" t="inlineStr">
        <is>
          <t>Annual Cost Today</t>
        </is>
      </c>
      <c r="B8" s="5" t="n">
        <v>25000</v>
      </c>
      <c r="C8" s="5" t="inlineStr">
        <is>
          <t>$/yr</t>
        </is>
      </c>
      <c r="D8" s="5" t="inlineStr"/>
    </row>
    <row r="9">
      <c r="A9" s="4" t="inlineStr">
        <is>
          <t>Education Inflation</t>
        </is>
      </c>
      <c r="B9" s="4" t="n">
        <v>5</v>
      </c>
      <c r="C9" s="4" t="inlineStr">
        <is>
          <t>%</t>
        </is>
      </c>
      <c r="D9" s="4" t="inlineStr"/>
    </row>
    <row r="10">
      <c r="A10" s="5" t="inlineStr">
        <is>
          <t>Monthly Contribution</t>
        </is>
      </c>
      <c r="B10" s="5" t="n">
        <v>500</v>
      </c>
      <c r="C10" s="5" t="inlineStr">
        <is>
          <t>$/mo</t>
        </is>
      </c>
      <c r="D10" s="5" t="inlineStr"/>
    </row>
    <row r="11">
      <c r="A11" s="4" t="inlineStr">
        <is>
          <t>Expected Return</t>
        </is>
      </c>
      <c r="B11" s="4" t="n">
        <v>6</v>
      </c>
      <c r="C11" s="4" t="inlineStr">
        <is>
          <t>%</t>
        </is>
      </c>
      <c r="D11" s="4" t="inlineStr"/>
    </row>
    <row r="12">
      <c r="A12" s="5" t="inlineStr">
        <is>
          <t>Years in College</t>
        </is>
      </c>
      <c r="B12" s="5" t="n">
        <v>4</v>
      </c>
      <c r="C12" s="5" t="inlineStr">
        <is>
          <t>years</t>
        </is>
      </c>
      <c r="D12" s="5" t="inlineStr"/>
    </row>
    <row r="13">
      <c r="A13" s="4" t="inlineStr">
        <is>
          <t>══════════════════</t>
        </is>
      </c>
      <c r="B13" s="4" t="inlineStr"/>
      <c r="C13" s="4" t="inlineStr"/>
      <c r="D13" s="4" t="inlineStr"/>
    </row>
    <row r="14">
      <c r="A14" s="5" t="inlineStr">
        <is>
          <t>📊 CALCULATIONS</t>
        </is>
      </c>
      <c r="B14" s="5" t="inlineStr"/>
      <c r="C14" s="5" t="inlineStr"/>
      <c r="D14" s="5" t="inlineStr"/>
    </row>
    <row r="15">
      <c r="A15" s="4" t="inlineStr">
        <is>
          <t>Years Until College</t>
        </is>
      </c>
      <c r="B15" s="4">
        <f>B2-B1</f>
        <v/>
      </c>
      <c r="C15" s="4" t="inlineStr">
        <is>
          <t>years</t>
        </is>
      </c>
      <c r="D15" s="4" t="inlineStr"/>
    </row>
    <row r="16">
      <c r="A16" s="5" t="inlineStr">
        <is>
          <t>Future Annual Cost</t>
        </is>
      </c>
      <c r="B16" s="5">
        <f>B4*(1+B5/100)^(B2-B1)</f>
        <v/>
      </c>
      <c r="C16" s="5" t="inlineStr">
        <is>
          <t>$/yr</t>
        </is>
      </c>
      <c r="D16" s="5" t="inlineStr"/>
    </row>
    <row r="17">
      <c r="A17" s="4" t="inlineStr">
        <is>
          <t>Total Cost (4yr)</t>
        </is>
      </c>
      <c r="B17" s="4">
        <f>B4*(1+B5/100)^(B2-B1)*B8</f>
        <v/>
      </c>
      <c r="C17" s="4" t="inlineStr">
        <is>
          <t>$</t>
        </is>
      </c>
      <c r="D17" s="4" t="inlineStr"/>
    </row>
    <row r="18">
      <c r="A18" s="5" t="inlineStr">
        <is>
          <t>529 Balance at Start</t>
        </is>
      </c>
      <c r="B18" s="5">
        <f>FV(B7/12,(B2-B1)*12,-B6,-B3)</f>
        <v/>
      </c>
      <c r="C18" s="5" t="inlineStr">
        <is>
          <t>$</t>
        </is>
      </c>
      <c r="D18" s="5" t="inlineStr"/>
    </row>
    <row r="19">
      <c r="A19" s="4" t="inlineStr">
        <is>
          <t>Shortfall/Surplus</t>
        </is>
      </c>
      <c r="B19" s="4">
        <f>B10-B9</f>
        <v/>
      </c>
      <c r="C19" s="4" t="inlineStr">
        <is>
          <t>$</t>
        </is>
      </c>
      <c r="D19" s="4" t="inlineStr"/>
    </row>
    <row r="20">
      <c r="A20" s="5" t="inlineStr"/>
      <c r="B20" s="5" t="inlineStr"/>
      <c r="C20" s="5" t="inlineStr"/>
      <c r="D20" s="5" t="inlineStr"/>
    </row>
    <row r="21">
      <c r="A21" s="4" t="inlineStr">
        <is>
          <t>🎯 Funding Gap:</t>
        </is>
      </c>
      <c r="B21" s="4">
        <f>B10-B9</f>
        <v/>
      </c>
      <c r="C21" s="4" t="inlineStr"/>
      <c r="D21" s="4" t="inlineStr">
        <is>
          <t>← Key decision metric</t>
        </is>
      </c>
    </row>
    <row r="22">
      <c r="A22" s="5" t="inlineStr"/>
      <c r="B22" s="5" t="inlineStr"/>
      <c r="C22" s="5" t="inlineStr"/>
      <c r="D22" s="5" t="inlineStr"/>
    </row>
    <row r="23">
      <c r="A23" s="4" t="inlineStr">
        <is>
          <t>📈 SCENARIO ANALYSIS</t>
        </is>
      </c>
      <c r="B23" s="4" t="inlineStr"/>
      <c r="C23" s="4" t="inlineStr"/>
      <c r="D23" s="4" t="inlineStr"/>
    </row>
    <row r="24">
      <c r="A24" s="5" t="inlineStr">
        <is>
          <t>Optimistic Scenario</t>
        </is>
      </c>
      <c r="B24" s="5" t="inlineStr"/>
      <c r="C24" s="5" t="inlineStr"/>
      <c r="D24" s="5" t="inlineStr">
        <is>
          <t>Change input values above to see impact</t>
        </is>
      </c>
    </row>
    <row r="25">
      <c r="A25" s="4" t="inlineStr">
        <is>
          <t>Pessimistic Scenario</t>
        </is>
      </c>
      <c r="B25" s="4" t="inlineStr"/>
      <c r="C25" s="4" t="inlineStr"/>
      <c r="D25" s="4" t="inlineStr">
        <is>
          <t>Change input values above to see impact</t>
        </is>
      </c>
    </row>
    <row r="26">
      <c r="A26" s="5" t="inlineStr">
        <is>
          <t>Most Likely Scenario</t>
        </is>
      </c>
      <c r="B26" s="5" t="inlineStr"/>
      <c r="C26" s="5" t="inlineStr"/>
      <c r="D26" s="5" t="inlineStr">
        <is>
          <t>This is your base case above</t>
        </is>
      </c>
    </row>
    <row r="27"/>
    <row r="28" ht="26" customHeight="1">
      <c r="A28" s="6" t="inlineStr">
        <is>
          <t>📊 QUICK SUMMARY</t>
        </is>
      </c>
    </row>
    <row r="29">
      <c r="A29" s="7" t="inlineStr">
        <is>
          <t>Total Inputs</t>
        </is>
      </c>
      <c r="B29" s="4">
        <f>COUNTA(A5:A12)</f>
        <v/>
      </c>
      <c r="C29" s="4" t="inlineStr"/>
      <c r="D29" s="4" t="inlineStr"/>
      <c r="E29" s="4" t="inlineStr">
        <is>
          <t>Total Calculations</t>
        </is>
      </c>
      <c r="F29" s="4">
        <f>COUNTA(A15:A19)</f>
        <v/>
      </c>
    </row>
    <row r="30"/>
    <row r="31"/>
    <row r="32"/>
    <row r="33"/>
    <row r="34"/>
    <row r="35"/>
    <row r="36"/>
    <row r="37"/>
    <row r="38"/>
    <row r="39"/>
    <row r="40"/>
    <row r="41"/>
    <row r="42"/>
    <row r="43"/>
    <row r="44"/>
    <row r="45"/>
    <row r="46"/>
    <row r="47"/>
    <row r="48"/>
    <row r="49"/>
    <row r="50"/>
    <row r="51"/>
    <row r="52"/>
    <row r="53"/>
    <row r="54"/>
    <row r="55"/>
  </sheetData>
  <mergeCells count="3">
    <mergeCell ref="A1:D1"/>
    <mergeCell ref="A28:D28"/>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College Savings 529 Plan Calculator</t>
        </is>
      </c>
    </row>
    <row r="3" ht="24" customHeight="1">
      <c r="A3" s="9" t="inlineStr">
        <is>
          <t>Overview</t>
        </is>
      </c>
    </row>
    <row r="4" ht="48" customHeight="1">
      <c r="A4" s="10" t="inlineStr">
        <is>
          <t>A comprehensive college savings 529 plan calculator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College Savings 529 Plan Calculator</t>
        </is>
      </c>
    </row>
    <row r="3" ht="22" customHeight="1">
      <c r="A3" s="13" t="inlineStr">
        <is>
          <t>Template Name:</t>
        </is>
      </c>
      <c r="B3" s="14" t="inlineStr">
        <is>
          <t>College Savings 529 Plan Calculator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22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college savings 529 plan calculator,investment,finance,excel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